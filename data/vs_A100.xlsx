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video-generation\iscas\实验\硬件\"/>
    </mc:Choice>
  </mc:AlternateContent>
  <xr:revisionPtr revIDLastSave="0" documentId="13_ncr:1_{1678543C-40F3-4A12-AE47-BF6CEB644796}" xr6:coauthVersionLast="47" xr6:coauthVersionMax="47" xr10:uidLastSave="{00000000-0000-0000-0000-000000000000}"/>
  <bookViews>
    <workbookView xWindow="28680" yWindow="-165" windowWidth="29040" windowHeight="15720" activeTab="2" xr2:uid="{00000000-000D-0000-FFFF-FFFF00000000}"/>
  </bookViews>
  <sheets>
    <sheet name="Sheet1" sheetId="1" r:id="rId1"/>
    <sheet name="Throughput" sheetId="2" r:id="rId2"/>
    <sheet name="EE" sheetId="3" r:id="rId3"/>
  </sheets>
  <calcPr calcId="191029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3" l="1"/>
  <c r="H4" i="3"/>
  <c r="H2" i="3"/>
  <c r="C3" i="3"/>
  <c r="C4" i="3"/>
  <c r="C2" i="3"/>
  <c r="B3" i="3"/>
  <c r="B4" i="3"/>
  <c r="B2" i="3"/>
</calcChain>
</file>

<file path=xl/sharedStrings.xml><?xml version="1.0" encoding="utf-8"?>
<sst xmlns="http://schemas.openxmlformats.org/spreadsheetml/2006/main" count="27" uniqueCount="14">
  <si>
    <t>Frames</t>
  </si>
  <si>
    <t>A100 Throughput (steps/s)</t>
  </si>
  <si>
    <t>Q-DARE Throughput (steps/s)</t>
  </si>
  <si>
    <t>Q-DARE/A100 Throughput (×)</t>
  </si>
  <si>
    <t>A100 Energy Efficiency (steps/s/W)</t>
  </si>
  <si>
    <t>Q-DARE Energy Efficiency (steps/s/W)</t>
  </si>
  <si>
    <t>Q-DARE/A100 Energy Eff. (×)</t>
  </si>
  <si>
    <t>Geomean</t>
  </si>
  <si>
    <t>A100 Energy Efficiency (steps/s/kW)</t>
    <phoneticPr fontId="3" type="noConversion"/>
  </si>
  <si>
    <t>Q-DARE Energy Efficiency (steps/s/kW)</t>
    <phoneticPr fontId="3" type="noConversion"/>
  </si>
  <si>
    <t>A100</t>
    <phoneticPr fontId="3" type="noConversion"/>
  </si>
  <si>
    <t xml:space="preserve">Q-DARE </t>
    <phoneticPr fontId="3" type="noConversion"/>
  </si>
  <si>
    <t xml:space="preserve">A100 </t>
    <phoneticPr fontId="3" type="noConversion"/>
  </si>
  <si>
    <t>Q-DARE/A100 Energy Eff. (×)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</si>
</sst>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0.000"/>
    <numFmt numFmtId="181" formatCode="0.00000"/>
    <numFmt numFmtId="182" formatCode="0.0"/>
    <numFmt numFmtId="183" formatCode="0.00_ "/>
  </numFmts>
  <fonts count="4">
    <font>
      <sz val="11"/>
      <color theme="1"/>
      <name val="等线"/>
      <family val="2"/>
      <scheme val="minor"/>
    </font>
    <font>
      <b/>
      <sz val="11"/>
      <color rgb="FF000000"/>
      <name val="Carlito"/>
      <family val="2"/>
    </font>
    <font>
      <sz val="11"/>
      <color rgb="FF000000"/>
      <name val="Carlito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0">
    <border>
      <left/>
      <right/>
      <top/>
      <bottom/>
      <diagonal/>
    </border>
    <border>
      <left style="medium">
        <color rgb="FFC0C0C0"/>
      </left>
      <right style="medium">
        <color rgb="FFD0D0D0"/>
      </right>
      <top style="medium">
        <color rgb="FF80808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808080"/>
      </top>
      <bottom style="medium">
        <color rgb="FFD0D0D0"/>
      </bottom>
      <diagonal/>
    </border>
    <border>
      <left style="medium">
        <color rgb="FFD0D0D0"/>
      </left>
      <right style="medium">
        <color rgb="FFC0C0C0"/>
      </right>
      <top style="medium">
        <color rgb="FF808080"/>
      </top>
      <bottom style="medium">
        <color rgb="FFD0D0D0"/>
      </bottom>
      <diagonal/>
    </border>
    <border>
      <left style="medium">
        <color rgb="FFC0C0C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C0C0C0"/>
      </right>
      <top style="medium">
        <color rgb="FFD0D0D0"/>
      </top>
      <bottom style="medium">
        <color rgb="FFD0D0D0"/>
      </bottom>
      <diagonal/>
    </border>
    <border>
      <left style="medium">
        <color rgb="FFC0C0C0"/>
      </left>
      <right style="medium">
        <color rgb="FFD0D0D0"/>
      </right>
      <top style="medium">
        <color rgb="FFD0D0D0"/>
      </top>
      <bottom style="medium">
        <color rgb="FF80808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808080"/>
      </bottom>
      <diagonal/>
    </border>
    <border>
      <left style="medium">
        <color rgb="FFD0D0D0"/>
      </left>
      <right style="medium">
        <color rgb="FFC0C0C0"/>
      </right>
      <top style="medium">
        <color rgb="FFD0D0D0"/>
      </top>
      <bottom style="medium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81" fontId="2" fillId="0" borderId="5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82" fontId="1" fillId="0" borderId="9" xfId="0" applyNumberFormat="1" applyFont="1" applyBorder="1" applyAlignment="1">
      <alignment horizontal="center" vertical="center"/>
    </xf>
    <xf numFmtId="183" fontId="2" fillId="0" borderId="5" xfId="0" applyNumberFormat="1" applyFont="1" applyBorder="1" applyAlignment="1">
      <alignment horizontal="center" vertical="center"/>
    </xf>
    <xf numFmtId="18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6241769818277598"/>
          <c:y val="0.17286888792730401"/>
          <c:w val="0.42638925467474298"/>
          <c:h val="0.705106014712245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Throughput!$B$7</c:f>
              <c:strCache>
                <c:ptCount val="1"/>
                <c:pt idx="0">
                  <c:v>A100</c:v>
                </c:pt>
              </c:strCache>
            </c:strRef>
          </c:tx>
          <c:spPr>
            <a:solidFill>
              <a:srgbClr val="75BD42">
                <a:lumMod val="75000"/>
              </a:srgbClr>
            </a:solidFill>
            <a:ln w="19050">
              <a:solidFill>
                <a:sysClr val="windowText" lastClr="000000"/>
              </a:solidFill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Throughput!$A$8:$A$11</c:f>
              <c:strCache>
                <c:ptCount val="4"/>
                <c:pt idx="0">
                  <c:v>64</c:v>
                </c:pt>
                <c:pt idx="1">
                  <c:v>256</c:v>
                </c:pt>
                <c:pt idx="2">
                  <c:v>512</c:v>
                </c:pt>
                <c:pt idx="3">
                  <c:v>Geomean</c:v>
                </c:pt>
              </c:strCache>
            </c:strRef>
          </c:cat>
          <c:val>
            <c:numRef>
              <c:f>Throughput!$B$8:$B$11</c:f>
              <c:numCache>
                <c:formatCode>0.00_ 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D-49B8-B290-FF55F92DEF1F}"/>
            </c:ext>
          </c:extLst>
        </c:ser>
        <c:ser>
          <c:idx val="1"/>
          <c:order val="1"/>
          <c:tx>
            <c:strRef>
              <c:f>Throughput!$C$7</c:f>
              <c:strCache>
                <c:ptCount val="1"/>
                <c:pt idx="0">
                  <c:v>Q-DARE 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ysClr val="windowText" lastClr="000000"/>
              </a:solidFill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Throughput!$A$8:$A$11</c:f>
              <c:strCache>
                <c:ptCount val="4"/>
                <c:pt idx="0">
                  <c:v>64</c:v>
                </c:pt>
                <c:pt idx="1">
                  <c:v>256</c:v>
                </c:pt>
                <c:pt idx="2">
                  <c:v>512</c:v>
                </c:pt>
                <c:pt idx="3">
                  <c:v>Geomean</c:v>
                </c:pt>
              </c:strCache>
            </c:strRef>
          </c:cat>
          <c:val>
            <c:numRef>
              <c:f>Throughput!$C$8:$C$11</c:f>
              <c:numCache>
                <c:formatCode>0.00_ </c:formatCode>
                <c:ptCount val="4"/>
                <c:pt idx="0">
                  <c:v>10.0227304371531</c:v>
                </c:pt>
                <c:pt idx="1">
                  <c:v>11.052387654878</c:v>
                </c:pt>
                <c:pt idx="2">
                  <c:v>11.8834685391055</c:v>
                </c:pt>
                <c:pt idx="3" formatCode="0.00">
                  <c:v>10.9596106732758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D-49B8-B290-FF55F92DEF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2"/>
        <c:overlap val="-34"/>
        <c:axId val="858298124"/>
        <c:axId val="915399293"/>
      </c:barChart>
      <c:catAx>
        <c:axId val="8582981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5399293"/>
        <c:crossesAt val="0"/>
        <c:auto val="1"/>
        <c:lblAlgn val="ctr"/>
        <c:lblOffset val="100"/>
        <c:noMultiLvlLbl val="0"/>
      </c:catAx>
      <c:valAx>
        <c:axId val="915399293"/>
        <c:scaling>
          <c:orientation val="minMax"/>
          <c:min val="0"/>
        </c:scaling>
        <c:delete val="0"/>
        <c:axPos val="l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298124"/>
        <c:crosses val="autoZero"/>
        <c:crossBetween val="between"/>
        <c:majorUnit val="1"/>
      </c:valAx>
      <c:spPr>
        <a:noFill/>
        <a:ln w="22225">
          <a:solidFill>
            <a:schemeClr val="tx1"/>
          </a:solidFill>
        </a:ln>
        <a:effectLst/>
      </c:spPr>
    </c:plotArea>
    <c:legend>
      <c:legendPos val="l"/>
      <c:layout>
        <c:manualLayout>
          <c:xMode val="edge"/>
          <c:yMode val="edge"/>
          <c:x val="0.5748228346456693"/>
          <c:y val="0.17502912542986199"/>
          <c:w val="0.41279352580927386"/>
          <c:h val="7.495844269466316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429eea-cd43-4b31-bd6f-9f00c925026d}"/>
      </c:ext>
    </c:extLst>
  </c:chart>
  <c:spPr>
    <a:noFill/>
    <a:ln w="9525" cap="flat" cmpd="sng" algn="ctr">
      <a:noFill/>
      <a:round/>
    </a:ln>
    <a:effectLst/>
  </c:spPr>
  <c:txPr>
    <a:bodyPr rot="0" vert="mongolianVert"/>
    <a:lstStyle/>
    <a:p>
      <a:pPr>
        <a:defRPr lang="zh-CN"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6241769818277598"/>
          <c:y val="0.17286888792730401"/>
          <c:w val="0.42638925467474298"/>
          <c:h val="0.705106014712245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EE!$B$9</c:f>
              <c:strCache>
                <c:ptCount val="1"/>
                <c:pt idx="0">
                  <c:v>A100 </c:v>
                </c:pt>
              </c:strCache>
            </c:strRef>
          </c:tx>
          <c:spPr>
            <a:solidFill>
              <a:srgbClr val="75BD42">
                <a:lumMod val="75000"/>
              </a:srgbClr>
            </a:solidFill>
            <a:ln w="19050">
              <a:solidFill>
                <a:sysClr val="windowText" lastClr="000000"/>
              </a:solidFill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EE!$A$10:$A$13</c:f>
              <c:strCache>
                <c:ptCount val="4"/>
                <c:pt idx="0">
                  <c:v>64</c:v>
                </c:pt>
                <c:pt idx="1">
                  <c:v>256</c:v>
                </c:pt>
                <c:pt idx="2">
                  <c:v>512</c:v>
                </c:pt>
                <c:pt idx="3">
                  <c:v>Geomean</c:v>
                </c:pt>
              </c:strCache>
            </c:strRef>
          </c:cat>
          <c:val>
            <c:numRef>
              <c:f>EE!$B$10:$B$13</c:f>
              <c:numCache>
                <c:formatCode>0.00_ 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D-49B8-B290-FF55F92DEF1F}"/>
            </c:ext>
          </c:extLst>
        </c:ser>
        <c:ser>
          <c:idx val="1"/>
          <c:order val="1"/>
          <c:tx>
            <c:strRef>
              <c:f>EE!$C$9</c:f>
              <c:strCache>
                <c:ptCount val="1"/>
                <c:pt idx="0">
                  <c:v>Q-DARE 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ysClr val="windowText" lastClr="000000"/>
              </a:solidFill>
            </a:ln>
            <a:effectLst/>
            <a:sp3d contourW="19050"/>
          </c:spPr>
          <c:invertIfNegative val="0"/>
          <c:dLbls>
            <c:delete val="1"/>
          </c:dLbls>
          <c:cat>
            <c:strRef>
              <c:f>EE!$A$10:$A$13</c:f>
              <c:strCache>
                <c:ptCount val="4"/>
                <c:pt idx="0">
                  <c:v>64</c:v>
                </c:pt>
                <c:pt idx="1">
                  <c:v>256</c:v>
                </c:pt>
                <c:pt idx="2">
                  <c:v>512</c:v>
                </c:pt>
                <c:pt idx="3">
                  <c:v>Geomean</c:v>
                </c:pt>
              </c:strCache>
            </c:strRef>
          </c:cat>
          <c:val>
            <c:numRef>
              <c:f>EE!$C$10:$C$13</c:f>
              <c:numCache>
                <c:formatCode>0.00_ </c:formatCode>
                <c:ptCount val="4"/>
                <c:pt idx="0">
                  <c:v>365.806880550989</c:v>
                </c:pt>
                <c:pt idx="1">
                  <c:v>376.797193392307</c:v>
                </c:pt>
                <c:pt idx="2">
                  <c:v>381.586091478898</c:v>
                </c:pt>
                <c:pt idx="3">
                  <c:v>374.671525521012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D-49B8-B290-FF55F92DEF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2"/>
        <c:overlap val="-34"/>
        <c:axId val="858298124"/>
        <c:axId val="915399293"/>
      </c:barChart>
      <c:catAx>
        <c:axId val="8582981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5399293"/>
        <c:crossesAt val="0"/>
        <c:auto val="1"/>
        <c:lblAlgn val="ctr"/>
        <c:lblOffset val="100"/>
        <c:noMultiLvlLbl val="0"/>
      </c:catAx>
      <c:valAx>
        <c:axId val="915399293"/>
        <c:scaling>
          <c:orientation val="minMax"/>
          <c:max val="400"/>
          <c:min val="0"/>
        </c:scaling>
        <c:delete val="0"/>
        <c:axPos val="l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0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8298124"/>
        <c:crosses val="autoZero"/>
        <c:crossBetween val="between"/>
        <c:majorUnit val="100"/>
        <c:minorUnit val="50"/>
      </c:valAx>
      <c:spPr>
        <a:noFill/>
        <a:ln w="22225">
          <a:solidFill>
            <a:schemeClr val="tx1"/>
          </a:solidFill>
        </a:ln>
        <a:effectLst/>
      </c:spPr>
    </c:plotArea>
    <c:legend>
      <c:legendPos val="l"/>
      <c:layout>
        <c:manualLayout>
          <c:xMode val="edge"/>
          <c:yMode val="edge"/>
          <c:x val="0.55815616797900258"/>
          <c:y val="0.17502916302128901"/>
          <c:w val="0.4266824146981627"/>
          <c:h val="0.1166251848805063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429eea-cd43-4b31-bd6f-9f00c925026d}"/>
      </c:ext>
    </c:extLst>
  </c:chart>
  <c:spPr>
    <a:noFill/>
    <a:ln w="9525" cap="flat" cmpd="sng" algn="ctr">
      <a:noFill/>
      <a:round/>
    </a:ln>
    <a:effectLst/>
  </c:spPr>
  <c:txPr>
    <a:bodyPr rot="0" vert="mongolianVert"/>
    <a:lstStyle/>
    <a:p>
      <a:pPr>
        <a:defRPr lang="zh-CN" b="1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248150</xdr:colOff>
      <xdr:row>0</xdr:row>
      <xdr:rowOff>473242</xdr:rowOff>
    </xdr:from>
    <xdr:to>
      <xdr:col>10</xdr:col>
      <xdr:colOff>325856</xdr:colOff>
      <xdr:row>12</xdr:row>
      <xdr:rowOff>138363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794AF92-2AAD-4913-980C-3F0586C65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522232</xdr:colOff>
      <xdr:row>2</xdr:row>
      <xdr:rowOff>152400</xdr:rowOff>
    </xdr:from>
    <xdr:to>
      <xdr:col>12</xdr:col>
      <xdr:colOff>566854</xdr:colOff>
      <xdr:row>17</xdr:row>
      <xdr:rowOff>110359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A85E1AA-6C6C-4A09-A2E0-2715D98E7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zoomScale="130" zoomScaleNormal="130" workbookViewId="0">
      <selection activeCell="G9" sqref="G9"/>
    </sheetView>
  </sheetViews>
  <sheetFormatPr defaultRowHeight="14.25"/>
  <sheetData>
    <row r="1" spans="1:7" ht="90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thickBot="1">
      <c r="A2" s="4">
        <v>64</v>
      </c>
      <c r="B2" s="5">
        <v>0.64311963568491</v>
      </c>
      <c r="C2" s="5">
        <v>6.44581474730995</v>
      </c>
      <c r="D2" s="6">
        <v>10.0227304371531</v>
      </c>
      <c r="E2" s="7">
        <v>0.00167695889674708</v>
      </c>
      <c r="F2" s="7">
        <v>0.613443102831279</v>
      </c>
      <c r="G2" s="8">
        <v>365.806880550989</v>
      </c>
    </row>
    <row r="3" spans="1:7" ht="15" thickBot="1">
      <c r="A3" s="4">
        <v>256</v>
      </c>
      <c r="B3" s="5">
        <v>0.145038042893211</v>
      </c>
      <c r="C3" s="5">
        <v>1.60301667476059</v>
      </c>
      <c r="D3" s="6">
        <v>11.052387654878</v>
      </c>
      <c r="E3" s="7">
        <v>0.000404880489034285</v>
      </c>
      <c r="F3" s="7">
        <v>0.152557831927423</v>
      </c>
      <c r="G3" s="8">
        <v>376.797193392307</v>
      </c>
    </row>
    <row r="4" spans="1:7" ht="15" thickBot="1">
      <c r="A4" s="4">
        <v>512</v>
      </c>
      <c r="B4" s="5">
        <v>0.0673238473506449</v>
      </c>
      <c r="C4" s="5">
        <v>0.80004082192293</v>
      </c>
      <c r="D4" s="6">
        <v>11.8834685391055</v>
      </c>
      <c r="E4" s="7">
        <v>0.000199533618693029</v>
      </c>
      <c r="F4" s="7">
        <v>0.0761392536757138</v>
      </c>
      <c r="G4" s="8">
        <v>381.586091478898</v>
      </c>
    </row>
    <row r="5" spans="1:7" ht="15.75" thickBot="1">
      <c r="A5" s="9" t="s">
        <v>7</v>
      </c>
      <c r="B5" s="10"/>
      <c r="C5" s="10"/>
      <c r="D5" s="11">
        <v>10.9596106732758</v>
      </c>
      <c r="E5" s="10"/>
      <c r="F5" s="10"/>
      <c r="G5" s="12">
        <v>374.671525521012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01DD-C8DA-4780-9FF1-AED82EBE5508}">
  <dimension ref="A1:D11"/>
  <sheetViews>
    <sheetView zoomScale="190" zoomScaleNormal="190" workbookViewId="0">
      <selection activeCell="F1" sqref="F1"/>
    </sheetView>
  </sheetViews>
  <sheetFormatPr defaultRowHeight="14.25"/>
  <sheetData>
    <row r="1" spans="1:4" ht="75.75" thickBot="1">
      <c r="A1" s="1" t="s">
        <v>0</v>
      </c>
      <c r="B1" s="2" t="s">
        <v>10</v>
      </c>
      <c r="C1" s="2" t="s">
        <v>11</v>
      </c>
      <c r="D1" s="2" t="s">
        <v>3</v>
      </c>
    </row>
    <row r="2" spans="1:4" ht="15" thickBot="1">
      <c r="A2" s="4">
        <v>64</v>
      </c>
      <c r="B2" s="5">
        <v>0.64311963568491</v>
      </c>
      <c r="C2" s="5">
        <v>6.44581474730995</v>
      </c>
      <c r="D2" s="6">
        <v>10.0227304371531</v>
      </c>
    </row>
    <row r="3" spans="1:4" ht="15" thickBot="1">
      <c r="A3" s="4">
        <v>256</v>
      </c>
      <c r="B3" s="5">
        <v>0.145038042893211</v>
      </c>
      <c r="C3" s="5">
        <v>1.60301667476059</v>
      </c>
      <c r="D3" s="6">
        <v>11.052387654878</v>
      </c>
    </row>
    <row r="4" spans="1:4" ht="15" thickBot="1">
      <c r="A4" s="4">
        <v>512</v>
      </c>
      <c r="B4" s="5">
        <v>0.0673238473506449</v>
      </c>
      <c r="C4" s="5">
        <v>0.80004082192293</v>
      </c>
      <c r="D4" s="6">
        <v>11.8834685391055</v>
      </c>
    </row>
    <row r="5" spans="1:4" ht="15.75" thickBot="1">
      <c r="A5" s="9" t="s">
        <v>7</v>
      </c>
      <c r="B5" s="10"/>
      <c r="C5" s="10"/>
      <c r="D5" s="11">
        <v>10.9596106732758</v>
      </c>
    </row>
    <row r="6" spans="1:4" ht="15" thickBot="1"/>
    <row r="7" spans="1:4" ht="15.75" thickBot="1">
      <c r="A7" s="1" t="s">
        <v>0</v>
      </c>
      <c r="B7" s="2" t="s">
        <v>10</v>
      </c>
      <c r="C7" s="2" t="s">
        <v>11</v>
      </c>
      <c r="D7" s="2"/>
    </row>
    <row r="8" spans="1:4" ht="15" thickBot="1">
      <c r="A8" s="4">
        <v>64</v>
      </c>
      <c r="B8" s="13">
        <v>1</v>
      </c>
      <c r="C8" s="13">
        <v>10.0227304371531</v>
      </c>
      <c r="D8" s="6"/>
    </row>
    <row r="9" spans="1:4" ht="15" thickBot="1">
      <c r="A9" s="4">
        <v>256</v>
      </c>
      <c r="B9" s="13">
        <v>1</v>
      </c>
      <c r="C9" s="13">
        <v>11.052387654878</v>
      </c>
      <c r="D9" s="6"/>
    </row>
    <row r="10" spans="1:4" ht="15" thickBot="1">
      <c r="A10" s="4">
        <v>512</v>
      </c>
      <c r="B10" s="13">
        <v>1</v>
      </c>
      <c r="C10" s="13">
        <v>11.8834685391055</v>
      </c>
      <c r="D10" s="6"/>
    </row>
    <row r="11" spans="1:4" ht="15.75" thickBot="1">
      <c r="A11" s="9" t="s">
        <v>7</v>
      </c>
      <c r="B11" s="13">
        <v>1</v>
      </c>
      <c r="C11" s="11">
        <v>10.9596106732758</v>
      </c>
      <c r="D11" s="11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8BE6-C553-4265-8DF5-0CB061FE8942}">
  <dimension ref="A1:H13"/>
  <sheetViews>
    <sheetView tabSelected="1" topLeftCell="A4" zoomScale="175" zoomScaleNormal="175" workbookViewId="0">
      <selection activeCell="G13" sqref="G13"/>
    </sheetView>
  </sheetViews>
  <sheetFormatPr defaultRowHeight="14.25"/>
  <sheetData>
    <row r="1" spans="1:8" ht="90.75" thickBot="1">
      <c r="A1" s="1" t="s">
        <v>0</v>
      </c>
      <c r="B1" s="2" t="s">
        <v>8</v>
      </c>
      <c r="C1" s="2" t="s">
        <v>9</v>
      </c>
      <c r="D1" s="3" t="s">
        <v>6</v>
      </c>
    </row>
    <row r="2" spans="1:8" ht="15" thickBot="1">
      <c r="A2" s="4">
        <v>64</v>
      </c>
      <c r="B2">
        <f>F2*1000</f>
        <v>1.67695889674708</v>
      </c>
      <c r="C2">
        <f>G2*1000</f>
        <v>613.443102831279</v>
      </c>
      <c r="D2" s="8">
        <v>365.806880550989</v>
      </c>
      <c r="F2" s="7">
        <v>0.00167695889674708</v>
      </c>
      <c r="G2" s="7">
        <v>0.613443102831279</v>
      </c>
      <c r="H2">
        <f>G2/F2</f>
        <v>365.806880550989</v>
      </c>
    </row>
    <row r="3" spans="1:8" ht="15" thickBot="1">
      <c r="A3" s="4">
        <v>256</v>
      </c>
      <c r="B3">
        <f t="shared" ref="B3:B4" si="0">F3*1000</f>
        <v>0.404880489034285</v>
      </c>
      <c r="C3">
        <f t="shared" ref="C3:C4" si="1">G3*1000</f>
        <v>152.557831927423</v>
      </c>
      <c r="D3" s="8">
        <v>376.797193392307</v>
      </c>
      <c r="F3" s="7">
        <v>0.000404880489034285</v>
      </c>
      <c r="G3" s="7">
        <v>0.152557831927423</v>
      </c>
      <c r="H3">
        <f t="shared" ref="H3:H4" si="2">G3/F3</f>
        <v>376.797193392307</v>
      </c>
    </row>
    <row r="4" spans="1:8" ht="15" thickBot="1">
      <c r="A4" s="4">
        <v>512</v>
      </c>
      <c r="B4">
        <f t="shared" si="0"/>
        <v>0.199533618693029</v>
      </c>
      <c r="C4">
        <f t="shared" si="1"/>
        <v>76.1392536757138</v>
      </c>
      <c r="D4" s="8">
        <v>381.586091478898</v>
      </c>
      <c r="F4" s="7">
        <v>0.000199533618693029</v>
      </c>
      <c r="G4" s="7">
        <v>0.0761392536757138</v>
      </c>
      <c r="H4">
        <f t="shared" si="2"/>
        <v>381.586091478898</v>
      </c>
    </row>
    <row r="5" spans="1:8" ht="15.75" thickBot="1">
      <c r="A5" s="9" t="s">
        <v>7</v>
      </c>
      <c r="B5" s="10"/>
      <c r="C5" s="10"/>
      <c r="D5" s="12">
        <v>374.671525521012</v>
      </c>
    </row>
    <row r="9" spans="1:8">
      <c r="A9" t="s">
        <v>0</v>
      </c>
      <c r="B9" t="s">
        <v>12</v>
      </c>
      <c r="C9" t="s">
        <v>11</v>
      </c>
      <c r="D9" t="s">
        <v>13</v>
      </c>
    </row>
    <row r="10" spans="1:8">
      <c r="A10">
        <v>64</v>
      </c>
      <c r="B10" s="14">
        <v>1</v>
      </c>
      <c r="C10" s="14">
        <v>365.806880550989</v>
      </c>
      <c r="D10">
        <v>365.806880550989</v>
      </c>
    </row>
    <row r="11" spans="1:8">
      <c r="A11">
        <v>256</v>
      </c>
      <c r="B11" s="14">
        <v>1</v>
      </c>
      <c r="C11" s="14">
        <v>376.797193392307</v>
      </c>
      <c r="D11">
        <v>376.797193392307</v>
      </c>
    </row>
    <row r="12" spans="1:8">
      <c r="A12">
        <v>512</v>
      </c>
      <c r="B12" s="14">
        <v>1</v>
      </c>
      <c r="C12" s="14">
        <v>381.586091478898</v>
      </c>
      <c r="D12">
        <v>381.586091478898</v>
      </c>
    </row>
    <row r="13" spans="1:8">
      <c r="A13" t="s">
        <v>7</v>
      </c>
      <c r="B13" s="14">
        <v>1</v>
      </c>
      <c r="C13" s="14">
        <v>374.671525521012</v>
      </c>
      <c r="D13">
        <v>374.671525521012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Throughput</vt:lpstr>
      <vt:lpstr>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TEH15603620988@outlook.com</cp:lastModifiedBy>
  <dcterms:created xsi:type="dcterms:W3CDTF">2015-06-05T18:19:34Z</dcterms:created>
  <dcterms:modified xsi:type="dcterms:W3CDTF">2026-09-10T12:44:37Z</dcterms:modified>
</cp:coreProperties>
</file>